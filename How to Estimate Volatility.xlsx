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bryce\Documents\BYU\STRAT 411\Winter 2021\"/>
    </mc:Choice>
  </mc:AlternateContent>
  <bookViews>
    <workbookView xWindow="0" yWindow="0" windowWidth="28800" windowHeight="12300"/>
  </bookViews>
  <sheets>
    <sheet name="Volatility Calculations" sheetId="1" r:id="rId1"/>
  </sheets>
  <calcPr calcId="162913"/>
</workbook>
</file>

<file path=xl/calcChain.xml><?xml version="1.0" encoding="utf-8"?>
<calcChain xmlns="http://schemas.openxmlformats.org/spreadsheetml/2006/main">
  <c r="D94" i="1" l="1"/>
  <c r="D93" i="1"/>
  <c r="C91" i="1" l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E68" i="1" l="1"/>
  <c r="F66" i="1" s="1"/>
  <c r="C90" i="1"/>
  <c r="C89" i="1"/>
  <c r="I40" i="1"/>
  <c r="D89" i="1" l="1"/>
  <c r="F67" i="1"/>
  <c r="F69" i="1" s="1"/>
  <c r="F70" i="1" s="1"/>
  <c r="J75" i="1" s="1"/>
  <c r="I39" i="1"/>
  <c r="G21" i="1"/>
  <c r="G33" i="1"/>
  <c r="G29" i="1"/>
  <c r="G25" i="1"/>
  <c r="G36" i="1"/>
  <c r="H36" i="1" s="1"/>
  <c r="I36" i="1" s="1"/>
  <c r="G32" i="1"/>
  <c r="H32" i="1" s="1"/>
  <c r="I32" i="1" s="1"/>
  <c r="G28" i="1"/>
  <c r="H28" i="1" s="1"/>
  <c r="I28" i="1" s="1"/>
  <c r="G24" i="1"/>
  <c r="H24" i="1" s="1"/>
  <c r="I24" i="1" s="1"/>
  <c r="G34" i="1"/>
  <c r="H34" i="1" s="1"/>
  <c r="I34" i="1" s="1"/>
  <c r="G30" i="1"/>
  <c r="H30" i="1" s="1"/>
  <c r="I30" i="1" s="1"/>
  <c r="G26" i="1"/>
  <c r="H26" i="1" s="1"/>
  <c r="I26" i="1" s="1"/>
  <c r="G22" i="1"/>
  <c r="H22" i="1" s="1"/>
  <c r="I22" i="1" s="1"/>
  <c r="G35" i="1"/>
  <c r="H35" i="1" s="1"/>
  <c r="I35" i="1" s="1"/>
  <c r="G31" i="1"/>
  <c r="H31" i="1" s="1"/>
  <c r="I31" i="1" s="1"/>
  <c r="G27" i="1"/>
  <c r="H27" i="1" s="1"/>
  <c r="I27" i="1" s="1"/>
  <c r="G23" i="1"/>
  <c r="H23" i="1" s="1"/>
  <c r="I23" i="1" s="1"/>
  <c r="D90" i="1" l="1"/>
  <c r="H25" i="1"/>
  <c r="I25" i="1" s="1"/>
  <c r="H29" i="1"/>
  <c r="I29" i="1" s="1"/>
  <c r="H33" i="1"/>
  <c r="I33" i="1" s="1"/>
  <c r="H21" i="1"/>
  <c r="I21" i="1" s="1"/>
  <c r="I38" i="1" l="1"/>
  <c r="I41" i="1" s="1"/>
  <c r="D96" i="1" s="1"/>
  <c r="D95" i="1"/>
</calcChain>
</file>

<file path=xl/sharedStrings.xml><?xml version="1.0" encoding="utf-8"?>
<sst xmlns="http://schemas.openxmlformats.org/spreadsheetml/2006/main" count="76" uniqueCount="73">
  <si>
    <t>Date</t>
  </si>
  <si>
    <t>Close</t>
  </si>
  <si>
    <t>Return</t>
  </si>
  <si>
    <t>Mean</t>
  </si>
  <si>
    <t>Deviation</t>
  </si>
  <si>
    <t>Squared</t>
  </si>
  <si>
    <t>252 trading days in the year</t>
  </si>
  <si>
    <t>estimated annual volatility of Tesla stock</t>
  </si>
  <si>
    <t>Average Jan price</t>
  </si>
  <si>
    <t>x Sqrt time</t>
  </si>
  <si>
    <t>Min Jan price (+2.5%):</t>
  </si>
  <si>
    <t>Max Jan price (-2.5%):</t>
  </si>
  <si>
    <t>Estimated Volatility</t>
  </si>
  <si>
    <t>Actual Volatility</t>
  </si>
  <si>
    <t>How to Measure Historical Stock Return Volatility and a Method for Estimating Strategic Project Volatility</t>
  </si>
  <si>
    <r>
      <t xml:space="preserve">when we talk about volatility related to options, we mean the volatility of </t>
    </r>
    <r>
      <rPr>
        <i/>
        <sz val="11"/>
        <color theme="1"/>
        <rFont val="Calibri"/>
        <family val="2"/>
        <scheme val="minor"/>
      </rPr>
      <t xml:space="preserve">returns </t>
    </r>
    <r>
      <rPr>
        <sz val="11"/>
        <color theme="1"/>
        <rFont val="Calibri"/>
        <family val="2"/>
        <scheme val="minor"/>
      </rPr>
      <t xml:space="preserve">on a stock; that is, the period-to-period gains or losses relative to </t>
    </r>
  </si>
  <si>
    <t xml:space="preserve">previous period prices. </t>
  </si>
  <si>
    <t>For example, take Tesla stock for the month of January. The daily return on the stock is the current day's closing price divided by the previous day's</t>
  </si>
  <si>
    <t>Calculated SD:</t>
  </si>
  <si>
    <t>Formula SD:</t>
  </si>
  <si>
    <t xml:space="preserve">The volatility of an asset refers to its underlying price fluctuations. This can be measured using the standard deviation of prices. However, </t>
  </si>
  <si>
    <t xml:space="preserve">Calculate the sample standard deviation by taking the square root of the squared deviations from the mean of each return, divided by the number </t>
  </si>
  <si>
    <t>Divide by</t>
  </si>
  <si>
    <t>mean:</t>
  </si>
  <si>
    <t>Range of returns:</t>
  </si>
  <si>
    <t>Checking the estimation method using the Tesla data</t>
  </si>
  <si>
    <t xml:space="preserve">We could just use the min and the max prices for January as the extremes of our distribution, but recall that we want only the middle 95% </t>
  </si>
  <si>
    <t>For example, if there are 4 years left before the project must be funded then the volatility is, SD x SQRT(4):</t>
  </si>
  <si>
    <t xml:space="preserve">Always use the actual volatility calculation when you can. Otherwise, we now have a useful quick estimation method for project modeling. </t>
  </si>
  <si>
    <t>One-day historical volatility for month of January</t>
  </si>
  <si>
    <t>A simple way to calculate volatility for a project</t>
  </si>
  <si>
    <t xml:space="preserve">Upper end (estimated 97.5% of possible returns below): </t>
  </si>
  <si>
    <t xml:space="preserve">Mean project value (S) (calculated or estimated): </t>
  </si>
  <si>
    <t>This is an estimate of the standard deviation of returns for the project</t>
  </si>
  <si>
    <t xml:space="preserve">(*Please note that "volatility" can refer to the SD only and this is the parameter entered directly into the Black-Scholes model, or it can refer to </t>
  </si>
  <si>
    <t>the SD scaled by square root of time, which is useful for plotting projects in options space or using a Black-Scholes table.)</t>
  </si>
  <si>
    <t xml:space="preserve">of days less one (for sample standard deviation). Then, this volatility calculation can be scaled by time by taking SD (sigma) times the square root of </t>
  </si>
  <si>
    <t>Now ask, what is the lowest return the project could yield (a number for which 97.5% of returns are above it)?</t>
  </si>
  <si>
    <t>to the discounted net present value of expected future returns or cash flow.</t>
  </si>
  <si>
    <t xml:space="preserve">a distribution of returns for which you can calculate the standard deviation directly. Keep in mind that a project's value is equal </t>
  </si>
  <si>
    <t xml:space="preserve">Here's an example of the simple estimation method. Suppose we have a project whose maximum NPV value is expected to be $95K </t>
  </si>
  <si>
    <t xml:space="preserve">and its minimum is expected to be $7K. We can take the average of these two numbers to generate our mean, or we can estimate the mean </t>
  </si>
  <si>
    <t xml:space="preserve">independently. Either approach works. Now take the min and the max and divide by the "mean." Take the difference in the result and </t>
  </si>
  <si>
    <t>divide by four to approximate the standard deviation (see below example):</t>
  </si>
  <si>
    <t>Range divided by 4</t>
  </si>
  <si>
    <t>closing price (minus 1 for decimal return). We can calculate the return this way or just use the "multiple" form (e.g do not subract 1)</t>
  </si>
  <si>
    <t>and the standard deviation is the same. You can calculate the sample SD manually (as shown below), or by using an excel formula.</t>
  </si>
  <si>
    <t xml:space="preserve">time, where time is typically annualized. In the example, since we are calculating the SD of daily returns, we multiply the SD by the square root of </t>
  </si>
  <si>
    <t>Tesla Stock Prices</t>
  </si>
  <si>
    <t>Using the same basic logic, here is a simple method for estimating the volatility of a strategic project. The estimate is based on</t>
  </si>
  <si>
    <t xml:space="preserve">determining a range of potential project values (S) at the exercise date, discounted to the present. Assuming returns are </t>
  </si>
  <si>
    <t xml:space="preserve">normally distributed, approximately one-quarter of that range is equal to the standard deviation of the range. Recall that on </t>
  </si>
  <si>
    <t xml:space="preserve">a normal distribution, 95% of observations are within plus/minus 2 standard deviations of the mean. </t>
  </si>
  <si>
    <t>Lower end (estimated 97.5% of possible returns above):</t>
  </si>
  <si>
    <t>Now you can scale this return by multiplying the estimated SD by the square root of time (measure time based on time to expiration for</t>
  </si>
  <si>
    <t>the project, in months or years). Or if you are using the Black-Scholes formula just plug the standard deviation into the model.</t>
  </si>
  <si>
    <t>Return range divided by 4 (est. SD)</t>
  </si>
  <si>
    <t xml:space="preserve">Notice that the estimated volatility of the stock using our method is close to the actual volatility calculated with more complex methods. </t>
  </si>
  <si>
    <t xml:space="preserve">value is to volatility when you're using an estimate. </t>
  </si>
  <si>
    <t xml:space="preserve">Of course, if you are calculating an option value for an important decision, it may be important to check to see how sensitive the option </t>
  </si>
  <si>
    <r>
      <rPr>
        <b/>
        <i/>
        <sz val="12"/>
        <color theme="1"/>
        <rFont val="Calibri"/>
        <family val="2"/>
        <scheme val="minor"/>
      </rPr>
      <t>Really</t>
    </r>
    <r>
      <rPr>
        <b/>
        <sz val="12"/>
        <color theme="1"/>
        <rFont val="Calibri"/>
        <family val="2"/>
        <scheme val="minor"/>
      </rPr>
      <t xml:space="preserve"> "Quick and Dirty" Volatility Estimation</t>
    </r>
  </si>
  <si>
    <t>Let's check the volatility estimation method using Tesla stock prices in January to see how close it gets to the actual volatility calculation.</t>
  </si>
  <si>
    <t xml:space="preserve">of the range. So let's take the range of the min and max and calculate the middle 95% (as seen in the cell formulas) to adjust the prices slightly. </t>
  </si>
  <si>
    <t xml:space="preserve">If we'd had even more prices, the method would have likely gotten closer as the prices would have better reflected a normal distribution. </t>
  </si>
  <si>
    <t xml:space="preserve">a reasonable expected maximum project value (a number for which 97.5% of expected returns are below it)? </t>
  </si>
  <si>
    <t xml:space="preserve">You can use modeling or estimates to determine the expected range of project value. Ask yourself, what is </t>
  </si>
  <si>
    <t xml:space="preserve">For the fastest possible estimate of volatility, do something like this: "I think that the returns could be as much as X% </t>
  </si>
  <si>
    <t>(say double to 100%) higher and they could be Y% (say 60%) lower. That's a 160% range so the estimated SD or volatility</t>
  </si>
  <si>
    <t>for Black-Scholes is 40%." (divide by 4)</t>
  </si>
  <si>
    <t>the number of trading days in a year, usually 252. This gives us the annual volatility for Tesla stock based on January price action, which is 62%.</t>
  </si>
  <si>
    <t>You can estimate these numbers using intution or modeling. To model, create a cash flow analysis driven by various assumptions.</t>
  </si>
  <si>
    <t xml:space="preserve">By placing possible ranges on those assumptions you can generate a range of possible project values and even a mean </t>
  </si>
  <si>
    <t xml:space="preserve">return. Sophisticated modeling efforts (such as by using an Excel plug-in for Monte Carlo simulation) can even produce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</si>
</sst>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  <numFmt numFmtId="165" formatCode="_(* #,##0.0000_);_(* \(#,##0.0000\);_(* &quot;-&quot;??_);_(@_)"/>
    <numFmt numFmtId="166" formatCode="0.00000"/>
    <numFmt numFmtId="167" formatCode="0.0000"/>
    <numFmt numFmtId="168" formatCode="0.000"/>
    <numFmt numFmtId="169" formatCode="[$-409]d\-mmm;@"/>
    <numFmt numFmtId="170" formatCode="_(&quot;$&quot;* #,##0_);_(&quot;$&quot;* \(#,##0\);_(&quot;$&quot;* &quot;-&quot;??_);_(@_)"/>
    <numFmt numFmtId="171" formatCode="0.0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43" fontId="0" fillId="0" borderId="0" xfId="1" applyFont="1"/>
    <xf numFmtId="165" fontId="0" fillId="0" borderId="0" xfId="1" applyNumberFormat="1" applyFont="1"/>
    <xf numFmtId="168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  <xf numFmtId="43" fontId="0" fillId="0" borderId="0" xfId="0" applyNumberFormat="1"/>
    <xf numFmtId="43" fontId="0" fillId="0" borderId="0" xfId="1" quotePrefix="1" applyFont="1"/>
    <xf numFmtId="165" fontId="0" fillId="0" borderId="0" xfId="0" applyNumberFormat="1"/>
    <xf numFmtId="0" fontId="16" fillId="0" borderId="0" xfId="0" applyFont="1"/>
    <xf numFmtId="0" fontId="19" fillId="0" borderId="0" xfId="0" applyFont="1"/>
    <xf numFmtId="0" fontId="20" fillId="0" borderId="0" xfId="0" applyFont="1"/>
    <xf numFmtId="169" fontId="0" fillId="0" borderId="0" xfId="0" applyNumberFormat="1"/>
    <xf numFmtId="0" fontId="0" fillId="0" borderId="0" xfId="0" applyFont="1"/>
    <xf numFmtId="2" fontId="0" fillId="0" borderId="10" xfId="0" applyNumberFormat="1" applyBorder="1"/>
    <xf numFmtId="166" fontId="0" fillId="0" borderId="0" xfId="0" applyNumberFormat="1" applyFont="1"/>
    <xf numFmtId="170" fontId="0" fillId="0" borderId="0" xfId="2" applyNumberFormat="1" applyFont="1"/>
    <xf numFmtId="168" fontId="0" fillId="0" borderId="10" xfId="0" applyNumberFormat="1" applyBorder="1"/>
    <xf numFmtId="0" fontId="21" fillId="0" borderId="0" xfId="0" applyFont="1"/>
    <xf numFmtId="168" fontId="0" fillId="0" borderId="0" xfId="0" applyNumberFormat="1" applyBorder="1"/>
    <xf numFmtId="9" fontId="18" fillId="0" borderId="0" xfId="3" applyFont="1"/>
    <xf numFmtId="170" fontId="0" fillId="0" borderId="10" xfId="2" applyNumberFormat="1" applyFont="1" applyBorder="1"/>
    <xf numFmtId="167" fontId="18" fillId="0" borderId="0" xfId="0" applyNumberFormat="1" applyFont="1"/>
    <xf numFmtId="9" fontId="0" fillId="0" borderId="0" xfId="3" applyFont="1"/>
    <xf numFmtId="10" fontId="0" fillId="0" borderId="0" xfId="3" applyNumberFormat="1" applyFont="1"/>
    <xf numFmtId="171" fontId="0" fillId="0" borderId="0" xfId="0" applyNumberFormat="1"/>
    <xf numFmtId="2" fontId="0" fillId="0" borderId="0" xfId="0" applyNumberFormat="1" applyAlignment="1">
      <alignment horizontal="right"/>
    </xf>
    <xf numFmtId="164" fontId="0" fillId="0" borderId="0" xfId="1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9" fontId="16" fillId="0" borderId="0" xfId="3" applyFont="1"/>
    <xf numFmtId="0" fontId="0" fillId="33" borderId="0" xfId="0" applyFill="1"/>
    <xf numFmtId="0" fontId="18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2"/>
  <sheetViews>
    <sheetView showGridLines="0" tabSelected="1" zoomScale="110" zoomScaleNormal="110" workbookViewId="0">
      <selection activeCell="B102" sqref="B102"/>
    </sheetView>
  </sheetViews>
  <sheetFormatPr defaultRowHeight="15" x14ac:dyDescent="0.25"/>
  <cols>
    <col min="1" max="1" width="32.85546875" customWidth="1"/>
    <col min="2" max="2" width="29.85546875" customWidth="1"/>
    <col min="5" max="5" width="10.140625" customWidth="1"/>
    <col min="8" max="8" width="13.85546875" customWidth="1"/>
    <col min="12" max="12" width="10.85546875" bestFit="1" customWidth="1"/>
  </cols>
  <sheetData>
    <row r="1" spans="2:2" ht="21" x14ac:dyDescent="0.35">
      <c r="B1" s="14" t="s">
        <v>14</v>
      </c>
    </row>
    <row r="3" spans="2:2" x14ac:dyDescent="0.25">
      <c r="B3" t="s">
        <v>20</v>
      </c>
    </row>
    <row r="4" spans="2:2" x14ac:dyDescent="0.25">
      <c r="B4" t="s">
        <v>15</v>
      </c>
    </row>
    <row r="5" spans="2:2" x14ac:dyDescent="0.25">
      <c r="B5" t="s">
        <v>16</v>
      </c>
    </row>
    <row r="7" spans="2:2" x14ac:dyDescent="0.25">
      <c r="B7" t="s">
        <v>17</v>
      </c>
    </row>
    <row r="8" spans="2:2" x14ac:dyDescent="0.25">
      <c r="B8" t="s">
        <v>45</v>
      </c>
    </row>
    <row r="9" spans="2:2" x14ac:dyDescent="0.25">
      <c r="B9" t="s">
        <v>46</v>
      </c>
    </row>
    <row r="11" spans="2:2" x14ac:dyDescent="0.25">
      <c r="B11" t="s">
        <v>21</v>
      </c>
    </row>
    <row r="12" spans="2:2" x14ac:dyDescent="0.25">
      <c r="B12" t="s">
        <v>36</v>
      </c>
    </row>
    <row r="13" spans="2:2" x14ac:dyDescent="0.25">
      <c r="B13" t="s">
        <v>47</v>
      </c>
    </row>
    <row r="14" spans="2:2" x14ac:dyDescent="0.25">
      <c r="B14" t="s">
        <v>69</v>
      </c>
    </row>
    <row r="16" spans="2:2" x14ac:dyDescent="0.25">
      <c r="B16" t="s">
        <v>34</v>
      </c>
    </row>
    <row r="17" spans="2:12" x14ac:dyDescent="0.25">
      <c r="B17" t="s">
        <v>35</v>
      </c>
    </row>
    <row r="19" spans="2:12" x14ac:dyDescent="0.25">
      <c r="B19" s="5" t="s">
        <v>48</v>
      </c>
      <c r="D19" s="5" t="s">
        <v>0</v>
      </c>
      <c r="E19" s="5" t="s">
        <v>1</v>
      </c>
      <c r="F19" s="5" t="s">
        <v>2</v>
      </c>
      <c r="G19" s="5" t="s">
        <v>3</v>
      </c>
      <c r="H19" s="5" t="s">
        <v>4</v>
      </c>
      <c r="I19" s="5" t="s">
        <v>5</v>
      </c>
    </row>
    <row r="20" spans="2:12" x14ac:dyDescent="0.25">
      <c r="C20">
        <v>1</v>
      </c>
      <c r="D20" s="15">
        <v>44200</v>
      </c>
      <c r="E20" s="29">
        <v>729.77002000000005</v>
      </c>
      <c r="F20" s="5"/>
      <c r="G20" s="5"/>
      <c r="H20" s="5"/>
      <c r="I20" s="5"/>
    </row>
    <row r="21" spans="2:12" x14ac:dyDescent="0.25">
      <c r="C21">
        <v>2</v>
      </c>
      <c r="D21" s="15">
        <v>44201</v>
      </c>
      <c r="E21" s="29">
        <v>735.10998500000005</v>
      </c>
      <c r="F21" s="30">
        <f>E21/E20</f>
        <v>1.0073173258062862</v>
      </c>
      <c r="G21" s="31">
        <f t="shared" ref="G21:G36" si="0">AVERAGE($F$21:$F$36)</f>
        <v>1.0113329561364459</v>
      </c>
      <c r="H21" s="31">
        <f>G21-F21</f>
        <v>4.0156303301597251E-3</v>
      </c>
      <c r="I21" s="32">
        <f>H21^2</f>
        <v>1.6125286948498703E-5</v>
      </c>
      <c r="K21" s="27"/>
      <c r="L21" s="28"/>
    </row>
    <row r="22" spans="2:12" x14ac:dyDescent="0.25">
      <c r="C22">
        <v>3</v>
      </c>
      <c r="D22" s="15">
        <v>44202</v>
      </c>
      <c r="E22" s="29">
        <v>755.97997999999995</v>
      </c>
      <c r="F22" s="30">
        <f t="shared" ref="F22:F36" si="1">E22/E21</f>
        <v>1.0283903027109609</v>
      </c>
      <c r="G22" s="31">
        <f t="shared" si="0"/>
        <v>1.0113329561364459</v>
      </c>
      <c r="H22" s="31">
        <f t="shared" ref="H22:H36" si="2">G22-F22</f>
        <v>-1.7057346574514964E-2</v>
      </c>
      <c r="I22" s="32">
        <f t="shared" ref="I22:I36" si="3">H22^2</f>
        <v>2.9095307216311738E-4</v>
      </c>
      <c r="K22" s="27"/>
    </row>
    <row r="23" spans="2:12" x14ac:dyDescent="0.25">
      <c r="C23">
        <v>4</v>
      </c>
      <c r="D23" s="15">
        <v>44203</v>
      </c>
      <c r="E23" s="29">
        <v>816.03997800000002</v>
      </c>
      <c r="F23" s="30">
        <f t="shared" si="1"/>
        <v>1.0794465456611695</v>
      </c>
      <c r="G23" s="31">
        <f t="shared" si="0"/>
        <v>1.0113329561364459</v>
      </c>
      <c r="H23" s="31">
        <f t="shared" si="2"/>
        <v>-6.8113589524723572E-2</v>
      </c>
      <c r="I23" s="32">
        <f t="shared" si="3"/>
        <v>4.6394610779425327E-3</v>
      </c>
      <c r="K23" s="27"/>
    </row>
    <row r="24" spans="2:12" x14ac:dyDescent="0.25">
      <c r="C24">
        <v>5</v>
      </c>
      <c r="D24" s="15">
        <v>44204</v>
      </c>
      <c r="E24" s="29">
        <v>880.02002000000005</v>
      </c>
      <c r="F24" s="30">
        <f t="shared" si="1"/>
        <v>1.0784030730416005</v>
      </c>
      <c r="G24" s="31">
        <f t="shared" si="0"/>
        <v>1.0113329561364459</v>
      </c>
      <c r="H24" s="31">
        <f t="shared" si="2"/>
        <v>-6.7070116905154631E-2</v>
      </c>
      <c r="I24" s="32">
        <f t="shared" si="3"/>
        <v>4.4984005816711093E-3</v>
      </c>
      <c r="K24" s="27"/>
    </row>
    <row r="25" spans="2:12" x14ac:dyDescent="0.25">
      <c r="C25">
        <v>6</v>
      </c>
      <c r="D25" s="15">
        <v>44207</v>
      </c>
      <c r="E25" s="29">
        <v>811.19000200000005</v>
      </c>
      <c r="F25" s="30">
        <f t="shared" si="1"/>
        <v>0.92178584982646194</v>
      </c>
      <c r="G25" s="31">
        <f t="shared" si="0"/>
        <v>1.0113329561364459</v>
      </c>
      <c r="H25" s="31">
        <f t="shared" si="2"/>
        <v>8.954710630998397E-2</v>
      </c>
      <c r="I25" s="32">
        <f t="shared" si="3"/>
        <v>8.018684248491571E-3</v>
      </c>
      <c r="K25" s="27"/>
    </row>
    <row r="26" spans="2:12" x14ac:dyDescent="0.25">
      <c r="C26">
        <v>7</v>
      </c>
      <c r="D26" s="15">
        <v>44208</v>
      </c>
      <c r="E26" s="29">
        <v>849.44000200000005</v>
      </c>
      <c r="F26" s="30">
        <f t="shared" si="1"/>
        <v>1.0471529480216646</v>
      </c>
      <c r="G26" s="31">
        <f t="shared" si="0"/>
        <v>1.0113329561364459</v>
      </c>
      <c r="H26" s="31">
        <f t="shared" si="2"/>
        <v>-3.5819991885218672E-2</v>
      </c>
      <c r="I26" s="32">
        <f t="shared" si="3"/>
        <v>1.2830718186571314E-3</v>
      </c>
      <c r="K26" s="27"/>
    </row>
    <row r="27" spans="2:12" x14ac:dyDescent="0.25">
      <c r="C27">
        <v>8</v>
      </c>
      <c r="D27" s="15">
        <v>44209</v>
      </c>
      <c r="E27" s="29">
        <v>854.40997300000004</v>
      </c>
      <c r="F27" s="30">
        <f t="shared" si="1"/>
        <v>1.0058508793891248</v>
      </c>
      <c r="G27" s="31">
        <f t="shared" si="0"/>
        <v>1.0113329561364459</v>
      </c>
      <c r="H27" s="31">
        <f t="shared" si="2"/>
        <v>5.4820767473211518E-3</v>
      </c>
      <c r="I27" s="32">
        <f t="shared" si="3"/>
        <v>3.0053165463519261E-5</v>
      </c>
      <c r="K27" s="27"/>
    </row>
    <row r="28" spans="2:12" x14ac:dyDescent="0.25">
      <c r="C28">
        <v>9</v>
      </c>
      <c r="D28" s="15">
        <v>44210</v>
      </c>
      <c r="E28" s="29">
        <v>845</v>
      </c>
      <c r="F28" s="30">
        <f t="shared" si="1"/>
        <v>0.9889865833764091</v>
      </c>
      <c r="G28" s="31">
        <f t="shared" si="0"/>
        <v>1.0113329561364459</v>
      </c>
      <c r="H28" s="31">
        <f t="shared" si="2"/>
        <v>2.2346372760036814E-2</v>
      </c>
      <c r="I28" s="32">
        <f t="shared" si="3"/>
        <v>4.9936037553051534E-4</v>
      </c>
      <c r="K28" s="27"/>
    </row>
    <row r="29" spans="2:12" x14ac:dyDescent="0.25">
      <c r="C29">
        <v>10</v>
      </c>
      <c r="D29" s="15">
        <v>44211</v>
      </c>
      <c r="E29" s="29">
        <v>826.15997300000004</v>
      </c>
      <c r="F29" s="30">
        <f t="shared" si="1"/>
        <v>0.97770411005917168</v>
      </c>
      <c r="G29" s="31">
        <f t="shared" si="0"/>
        <v>1.0113329561364459</v>
      </c>
      <c r="H29" s="31">
        <f t="shared" si="2"/>
        <v>3.3628846077274233E-2</v>
      </c>
      <c r="I29" s="32">
        <f t="shared" si="3"/>
        <v>1.1308992884890025E-3</v>
      </c>
      <c r="K29" s="27"/>
    </row>
    <row r="30" spans="2:12" x14ac:dyDescent="0.25">
      <c r="C30">
        <v>11</v>
      </c>
      <c r="D30" s="15">
        <v>44215</v>
      </c>
      <c r="E30" s="29">
        <v>844.54998799999998</v>
      </c>
      <c r="F30" s="30">
        <f t="shared" si="1"/>
        <v>1.0222596296129201</v>
      </c>
      <c r="G30" s="31">
        <f t="shared" si="0"/>
        <v>1.0113329561364459</v>
      </c>
      <c r="H30" s="31">
        <f t="shared" si="2"/>
        <v>-1.0926673476474136E-2</v>
      </c>
      <c r="I30" s="32">
        <f t="shared" si="3"/>
        <v>1.1939219326148338E-4</v>
      </c>
      <c r="K30" s="27"/>
    </row>
    <row r="31" spans="2:12" x14ac:dyDescent="0.25">
      <c r="C31">
        <v>12</v>
      </c>
      <c r="D31" s="15">
        <v>44216</v>
      </c>
      <c r="E31" s="29">
        <v>850.45001200000002</v>
      </c>
      <c r="F31" s="30">
        <f t="shared" si="1"/>
        <v>1.0069859973759185</v>
      </c>
      <c r="G31" s="31">
        <f t="shared" si="0"/>
        <v>1.0113329561364459</v>
      </c>
      <c r="H31" s="31">
        <f t="shared" si="2"/>
        <v>4.3469587605273752E-3</v>
      </c>
      <c r="I31" s="32">
        <f t="shared" si="3"/>
        <v>1.8896050465725694E-5</v>
      </c>
      <c r="K31" s="27"/>
    </row>
    <row r="32" spans="2:12" x14ac:dyDescent="0.25">
      <c r="C32">
        <v>13</v>
      </c>
      <c r="D32" s="15">
        <v>44217</v>
      </c>
      <c r="E32" s="29">
        <v>844.98999000000003</v>
      </c>
      <c r="F32" s="30">
        <f t="shared" si="1"/>
        <v>0.99357984370279484</v>
      </c>
      <c r="G32" s="31">
        <f t="shared" si="0"/>
        <v>1.0113329561364459</v>
      </c>
      <c r="H32" s="31">
        <f t="shared" si="2"/>
        <v>1.7753112433651075E-2</v>
      </c>
      <c r="I32" s="32">
        <f t="shared" si="3"/>
        <v>3.1517300108185636E-4</v>
      </c>
      <c r="K32" s="27"/>
    </row>
    <row r="33" spans="2:13" x14ac:dyDescent="0.25">
      <c r="C33">
        <v>14</v>
      </c>
      <c r="D33" s="15">
        <v>44218</v>
      </c>
      <c r="E33" s="29">
        <v>846.64001499999995</v>
      </c>
      <c r="F33" s="30">
        <f t="shared" si="1"/>
        <v>1.0019527154398598</v>
      </c>
      <c r="G33" s="31">
        <f t="shared" si="0"/>
        <v>1.0113329561364459</v>
      </c>
      <c r="H33" s="31">
        <f t="shared" si="2"/>
        <v>9.3802406965861618E-3</v>
      </c>
      <c r="I33" s="32">
        <f t="shared" si="3"/>
        <v>8.7988915525891235E-5</v>
      </c>
      <c r="K33" s="27"/>
    </row>
    <row r="34" spans="2:13" x14ac:dyDescent="0.25">
      <c r="C34">
        <v>15</v>
      </c>
      <c r="D34" s="15">
        <v>44221</v>
      </c>
      <c r="E34" s="29">
        <v>880.79998799999998</v>
      </c>
      <c r="F34" s="30">
        <f t="shared" si="1"/>
        <v>1.040347694881868</v>
      </c>
      <c r="G34" s="31">
        <f t="shared" si="0"/>
        <v>1.0113329561364459</v>
      </c>
      <c r="H34" s="31">
        <f t="shared" si="2"/>
        <v>-2.9014738745422042E-2</v>
      </c>
      <c r="I34" s="32">
        <f t="shared" si="3"/>
        <v>8.4185506446509501E-4</v>
      </c>
      <c r="K34" s="27"/>
    </row>
    <row r="35" spans="2:13" x14ac:dyDescent="0.25">
      <c r="C35">
        <v>16</v>
      </c>
      <c r="D35" s="15">
        <v>44222</v>
      </c>
      <c r="E35" s="29">
        <v>883.09002699999996</v>
      </c>
      <c r="F35" s="30">
        <f t="shared" si="1"/>
        <v>1.0025999534868295</v>
      </c>
      <c r="G35" s="31">
        <f t="shared" si="0"/>
        <v>1.0113329561364459</v>
      </c>
      <c r="H35" s="31">
        <f t="shared" si="2"/>
        <v>8.7330026496164059E-3</v>
      </c>
      <c r="I35" s="32">
        <f t="shared" si="3"/>
        <v>7.6265335278207164E-5</v>
      </c>
      <c r="K35" s="27"/>
    </row>
    <row r="36" spans="2:13" x14ac:dyDescent="0.25">
      <c r="C36">
        <v>17</v>
      </c>
      <c r="D36" s="15">
        <v>44223</v>
      </c>
      <c r="E36" s="29">
        <v>864.15997300000004</v>
      </c>
      <c r="F36" s="30">
        <f t="shared" si="1"/>
        <v>0.97856384579009636</v>
      </c>
      <c r="G36" s="31">
        <f t="shared" si="0"/>
        <v>1.0113329561364459</v>
      </c>
      <c r="H36" s="31">
        <f t="shared" si="2"/>
        <v>3.276911034634955E-2</v>
      </c>
      <c r="I36" s="32">
        <f t="shared" si="3"/>
        <v>1.073814592891233E-3</v>
      </c>
      <c r="K36" s="27"/>
    </row>
    <row r="38" spans="2:13" x14ac:dyDescent="0.25">
      <c r="H38" s="16" t="s">
        <v>18</v>
      </c>
      <c r="I38" s="18">
        <f>SQRT(SUM(I21:I36)/(COUNT(I21:I36)-1))</f>
        <v>3.9107027559699532E-2</v>
      </c>
      <c r="J38" t="s">
        <v>29</v>
      </c>
    </row>
    <row r="39" spans="2:13" x14ac:dyDescent="0.25">
      <c r="H39" s="16" t="s">
        <v>19</v>
      </c>
      <c r="I39" s="4">
        <f>_xlfn.STDEV.S(F21:F36)</f>
        <v>3.9107027559699532E-2</v>
      </c>
    </row>
    <row r="40" spans="2:13" x14ac:dyDescent="0.25">
      <c r="E40" s="5"/>
      <c r="H40" s="8" t="s">
        <v>9</v>
      </c>
      <c r="I40" s="17">
        <f>SQRT(252)</f>
        <v>15.874507866387544</v>
      </c>
      <c r="J40" t="s">
        <v>6</v>
      </c>
    </row>
    <row r="41" spans="2:13" ht="15.75" x14ac:dyDescent="0.25">
      <c r="E41" s="5"/>
      <c r="I41" s="23">
        <f>I38*I40</f>
        <v>0.62080481662748477</v>
      </c>
      <c r="J41" s="12" t="s">
        <v>7</v>
      </c>
      <c r="K41" s="12"/>
      <c r="L41" s="12"/>
      <c r="M41" s="12"/>
    </row>
    <row r="43" spans="2:13" ht="18.75" x14ac:dyDescent="0.3">
      <c r="B43" s="13" t="s">
        <v>30</v>
      </c>
    </row>
    <row r="44" spans="2:13" x14ac:dyDescent="0.25">
      <c r="B44" t="s">
        <v>49</v>
      </c>
    </row>
    <row r="45" spans="2:13" x14ac:dyDescent="0.25">
      <c r="B45" t="s">
        <v>50</v>
      </c>
    </row>
    <row r="46" spans="2:13" x14ac:dyDescent="0.25">
      <c r="B46" t="s">
        <v>51</v>
      </c>
    </row>
    <row r="47" spans="2:13" x14ac:dyDescent="0.25">
      <c r="B47" t="s">
        <v>52</v>
      </c>
    </row>
    <row r="49" spans="2:6" x14ac:dyDescent="0.25">
      <c r="B49" t="s">
        <v>65</v>
      </c>
    </row>
    <row r="50" spans="2:6" x14ac:dyDescent="0.25">
      <c r="B50" t="s">
        <v>64</v>
      </c>
    </row>
    <row r="51" spans="2:6" x14ac:dyDescent="0.25">
      <c r="B51" t="s">
        <v>37</v>
      </c>
    </row>
    <row r="53" spans="2:6" x14ac:dyDescent="0.25">
      <c r="B53" t="s">
        <v>70</v>
      </c>
    </row>
    <row r="54" spans="2:6" x14ac:dyDescent="0.25">
      <c r="B54" t="s">
        <v>71</v>
      </c>
    </row>
    <row r="55" spans="2:6" x14ac:dyDescent="0.25">
      <c r="B55" t="s">
        <v>72</v>
      </c>
    </row>
    <row r="56" spans="2:6" x14ac:dyDescent="0.25">
      <c r="B56" t="s">
        <v>39</v>
      </c>
    </row>
    <row r="57" spans="2:6" x14ac:dyDescent="0.25">
      <c r="B57" t="s">
        <v>38</v>
      </c>
    </row>
    <row r="59" spans="2:6" x14ac:dyDescent="0.25">
      <c r="B59" t="s">
        <v>40</v>
      </c>
    </row>
    <row r="60" spans="2:6" x14ac:dyDescent="0.25">
      <c r="B60" t="s">
        <v>41</v>
      </c>
    </row>
    <row r="61" spans="2:6" x14ac:dyDescent="0.25">
      <c r="B61" t="s">
        <v>42</v>
      </c>
    </row>
    <row r="62" spans="2:6" x14ac:dyDescent="0.25">
      <c r="B62" t="s">
        <v>43</v>
      </c>
    </row>
    <row r="64" spans="2:6" x14ac:dyDescent="0.25">
      <c r="F64" s="7" t="s">
        <v>22</v>
      </c>
    </row>
    <row r="65" spans="2:11" x14ac:dyDescent="0.25">
      <c r="F65" s="7" t="s">
        <v>23</v>
      </c>
    </row>
    <row r="66" spans="2:11" x14ac:dyDescent="0.25">
      <c r="B66" t="s">
        <v>31</v>
      </c>
      <c r="E66" s="19">
        <v>95000</v>
      </c>
      <c r="F66" s="3">
        <f>E66/$E$68</f>
        <v>1.8627450980392157</v>
      </c>
    </row>
    <row r="67" spans="2:11" x14ac:dyDescent="0.25">
      <c r="B67" t="s">
        <v>53</v>
      </c>
      <c r="E67" s="24">
        <v>7000</v>
      </c>
      <c r="F67" s="20">
        <f>E67/$E$68</f>
        <v>0.13725490196078433</v>
      </c>
    </row>
    <row r="68" spans="2:11" x14ac:dyDescent="0.25">
      <c r="B68" t="s">
        <v>32</v>
      </c>
      <c r="E68" s="19">
        <f>AVERAGE(E66:E67)</f>
        <v>51000</v>
      </c>
      <c r="F68" s="22"/>
    </row>
    <row r="69" spans="2:11" x14ac:dyDescent="0.25">
      <c r="B69" t="s">
        <v>24</v>
      </c>
      <c r="F69" s="3">
        <f>F66-F67</f>
        <v>1.7254901960784315</v>
      </c>
    </row>
    <row r="70" spans="2:11" ht="15.75" x14ac:dyDescent="0.25">
      <c r="B70" t="s">
        <v>44</v>
      </c>
      <c r="F70" s="25">
        <f>F69/4</f>
        <v>0.43137254901960786</v>
      </c>
      <c r="G70" s="21" t="s">
        <v>33</v>
      </c>
    </row>
    <row r="72" spans="2:11" x14ac:dyDescent="0.25">
      <c r="B72" t="s">
        <v>54</v>
      </c>
    </row>
    <row r="73" spans="2:11" x14ac:dyDescent="0.25">
      <c r="B73" t="s">
        <v>55</v>
      </c>
    </row>
    <row r="75" spans="2:11" ht="15.75" x14ac:dyDescent="0.25">
      <c r="B75" t="s">
        <v>27</v>
      </c>
      <c r="J75" s="23">
        <f>F70*SQRT(4)</f>
        <v>0.86274509803921573</v>
      </c>
    </row>
    <row r="76" spans="2:11" ht="15.75" x14ac:dyDescent="0.25">
      <c r="J76" s="23"/>
    </row>
    <row r="77" spans="2:11" ht="15.75" x14ac:dyDescent="0.25">
      <c r="B77" s="35" t="s">
        <v>60</v>
      </c>
    </row>
    <row r="78" spans="2:11" x14ac:dyDescent="0.25">
      <c r="B78" s="34" t="s">
        <v>66</v>
      </c>
      <c r="C78" s="34"/>
      <c r="D78" s="34"/>
      <c r="E78" s="34"/>
      <c r="F78" s="34"/>
      <c r="G78" s="34"/>
      <c r="H78" s="34"/>
      <c r="I78" s="34"/>
      <c r="J78" s="34"/>
      <c r="K78" s="34"/>
    </row>
    <row r="79" spans="2:11" x14ac:dyDescent="0.25">
      <c r="B79" s="34" t="s">
        <v>67</v>
      </c>
      <c r="C79" s="34"/>
      <c r="D79" s="34"/>
      <c r="E79" s="34"/>
      <c r="F79" s="34"/>
      <c r="G79" s="34"/>
      <c r="H79" s="34"/>
      <c r="I79" s="34"/>
      <c r="J79" s="34"/>
      <c r="K79" s="34"/>
    </row>
    <row r="80" spans="2:11" x14ac:dyDescent="0.25">
      <c r="B80" s="34" t="s">
        <v>68</v>
      </c>
      <c r="C80" s="34"/>
      <c r="D80" s="34"/>
      <c r="E80" s="34"/>
      <c r="F80" s="34"/>
      <c r="G80" s="34"/>
      <c r="H80" s="34"/>
      <c r="I80" s="34"/>
      <c r="J80" s="34"/>
      <c r="K80" s="34"/>
    </row>
    <row r="82" spans="2:15" ht="18.75" x14ac:dyDescent="0.3">
      <c r="B82" s="13" t="s">
        <v>25</v>
      </c>
    </row>
    <row r="83" spans="2:15" x14ac:dyDescent="0.25">
      <c r="B83" t="s">
        <v>61</v>
      </c>
    </row>
    <row r="84" spans="2:15" x14ac:dyDescent="0.25">
      <c r="B84" t="s">
        <v>26</v>
      </c>
    </row>
    <row r="85" spans="2:15" x14ac:dyDescent="0.25">
      <c r="B85" t="s">
        <v>62</v>
      </c>
    </row>
    <row r="86" spans="2:15" ht="17.25" customHeight="1" x14ac:dyDescent="0.25"/>
    <row r="87" spans="2:15" x14ac:dyDescent="0.25">
      <c r="D87" s="7" t="s">
        <v>22</v>
      </c>
    </row>
    <row r="88" spans="2:15" x14ac:dyDescent="0.25">
      <c r="D88" s="7" t="s">
        <v>23</v>
      </c>
    </row>
    <row r="89" spans="2:15" x14ac:dyDescent="0.25">
      <c r="B89" t="s">
        <v>11</v>
      </c>
      <c r="C89" s="1">
        <f>MAX($E$21:$E$36)-((MAX($E$21:$E$36)-MIN($E$21:$E$36))*0.025)</f>
        <v>879.39052594999998</v>
      </c>
      <c r="D89" s="3">
        <f>C89/C91</f>
        <v>1.0509573487652768</v>
      </c>
      <c r="E89" s="11"/>
      <c r="F89" s="9"/>
      <c r="L89" s="6"/>
      <c r="N89" s="6"/>
      <c r="O89" s="9"/>
    </row>
    <row r="90" spans="2:15" x14ac:dyDescent="0.25">
      <c r="B90" t="s">
        <v>10</v>
      </c>
      <c r="C90" s="10">
        <f>MIN($E$21:$E$36)+((MAX($E$21:$E$36)-MIN($E$21:$E$36))*0.025)</f>
        <v>738.80948605000003</v>
      </c>
      <c r="D90" s="3">
        <f>C90/C91</f>
        <v>0.88294931067507576</v>
      </c>
      <c r="G90" s="10"/>
      <c r="L90" s="6"/>
      <c r="N90" s="6"/>
      <c r="O90" s="9"/>
    </row>
    <row r="91" spans="2:15" x14ac:dyDescent="0.25">
      <c r="B91" t="s">
        <v>8</v>
      </c>
      <c r="C91" s="1">
        <f>AVERAGE(E21:E36)</f>
        <v>836.7518691250001</v>
      </c>
      <c r="L91" s="6"/>
    </row>
    <row r="92" spans="2:15" x14ac:dyDescent="0.25">
      <c r="O92" s="9"/>
    </row>
    <row r="93" spans="2:15" x14ac:dyDescent="0.25">
      <c r="B93" t="s">
        <v>24</v>
      </c>
      <c r="D93" s="1">
        <f>D89-D90</f>
        <v>0.16800803809020104</v>
      </c>
      <c r="O93" s="11"/>
    </row>
    <row r="94" spans="2:15" x14ac:dyDescent="0.25">
      <c r="B94" t="s">
        <v>56</v>
      </c>
      <c r="D94" s="2">
        <f>D93/4</f>
        <v>4.200200952255026E-2</v>
      </c>
    </row>
    <row r="95" spans="2:15" x14ac:dyDescent="0.25">
      <c r="B95" t="s">
        <v>12</v>
      </c>
      <c r="D95" s="33">
        <f>D94*SQRT(252)</f>
        <v>0.66676123056980863</v>
      </c>
      <c r="O95" s="9"/>
    </row>
    <row r="96" spans="2:15" x14ac:dyDescent="0.25">
      <c r="B96" t="s">
        <v>13</v>
      </c>
      <c r="D96" s="26">
        <f>I41</f>
        <v>0.62080481662748477</v>
      </c>
    </row>
    <row r="98" spans="2:2" x14ac:dyDescent="0.25">
      <c r="B98" t="s">
        <v>57</v>
      </c>
    </row>
    <row r="99" spans="2:2" x14ac:dyDescent="0.25">
      <c r="B99" t="s">
        <v>63</v>
      </c>
    </row>
    <row r="100" spans="2:2" x14ac:dyDescent="0.25">
      <c r="B100" t="s">
        <v>28</v>
      </c>
    </row>
    <row r="101" spans="2:2" x14ac:dyDescent="0.25">
      <c r="B101" t="s">
        <v>59</v>
      </c>
    </row>
    <row r="102" spans="2:2" x14ac:dyDescent="0.25">
      <c r="B102" t="s">
        <v>58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Volatility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Bryce</dc:creator>
  <cp:lastModifiedBy>David Bryce</cp:lastModifiedBy>
  <dcterms:created xsi:type="dcterms:W3CDTF">2021-04-03T01:58:48Z</dcterms:created>
  <dcterms:modified xsi:type="dcterms:W3CDTF">2021-04-03T06:28:22Z</dcterms:modified>
</cp:coreProperties>
</file>