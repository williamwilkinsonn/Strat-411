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ryce\Documents\BYU\STRAT 392 Economics of Strategy\Spreadsheet Exercises\"/>
    </mc:Choice>
  </mc:AlternateContent>
  <bookViews>
    <workbookView xWindow="360" yWindow="30" windowWidth="6870" windowHeight="5535"/>
  </bookViews>
  <sheets>
    <sheet name="Part 1" sheetId="1" r:id="rId1"/>
    <sheet name="Part 2" sheetId="3" r:id="rId2"/>
  </sheets>
  <calcPr calcId="162913"/>
</workbook>
</file>

<file path=xl/calcChain.xml><?xml version="1.0" encoding="utf-8"?>
<calcChain xmlns="http://schemas.openxmlformats.org/spreadsheetml/2006/main">
  <c r="C28" i="3" l="1"/>
  <c r="B26" i="3"/>
  <c r="D28" i="3"/>
  <c r="E28" i="3"/>
  <c r="F28" i="3"/>
  <c r="G28" i="3"/>
  <c r="H28" i="3"/>
  <c r="I28" i="3"/>
  <c r="B28" i="3"/>
  <c r="B25" i="3"/>
  <c r="I25" i="3"/>
  <c r="C25" i="3"/>
  <c r="D25" i="3"/>
  <c r="E25" i="3"/>
  <c r="F25" i="3"/>
  <c r="G25" i="3"/>
  <c r="H25" i="3"/>
</calcChain>
</file>

<file path=xl/sharedStrings.xml><?xml version="1.0" encoding="utf-8"?>
<sst xmlns="http://schemas.openxmlformats.org/spreadsheetml/2006/main" count="59" uniqueCount="57">
  <si>
    <t>A</t>
  </si>
  <si>
    <t>B</t>
  </si>
  <si>
    <t>C</t>
  </si>
  <si>
    <t>D</t>
  </si>
  <si>
    <t>E</t>
  </si>
  <si>
    <t>F</t>
  </si>
  <si>
    <t>NPV</t>
  </si>
  <si>
    <t>Region</t>
  </si>
  <si>
    <t>Present Value of Asset (S)</t>
  </si>
  <si>
    <t>Exercise price at expiration (X)</t>
  </si>
  <si>
    <t>Number of periods to expiration (t)</t>
  </si>
  <si>
    <r>
      <t>Standard deviation of expected returns (</t>
    </r>
    <r>
      <rPr>
        <sz val="10"/>
        <rFont val="Arial"/>
        <family val="2"/>
      </rPr>
      <t>σ)</t>
    </r>
  </si>
  <si>
    <t>Risk-free interest rate (r )</t>
  </si>
  <si>
    <t>Please fill in the following table:</t>
  </si>
  <si>
    <t>Value-to-cost (NPVq)</t>
  </si>
  <si>
    <t>Volatility (σ*sqrt(t))</t>
  </si>
  <si>
    <t xml:space="preserve">along with their associated asset values, exercise prices, and other information. Please fill in the missing information. </t>
  </si>
  <si>
    <t>Project:</t>
  </si>
  <si>
    <t xml:space="preserve">                                                </t>
  </si>
  <si>
    <t>Risk-free rate</t>
  </si>
  <si>
    <t>You manage a venture capital fund and have been evaluating six different projects, A-F. The projects vary in their expected value</t>
  </si>
  <si>
    <t xml:space="preserve">as of today's date and they also vary in the timing of when significant investments will need to be made (exercise price). Your job is to </t>
  </si>
  <si>
    <t xml:space="preserve">decide which of the projects should be scrapped now, and which should be further cultivated. For those that will not be scrapped </t>
  </si>
  <si>
    <t>you need to determine how much money to invest now to preserve the right to potential upside in the future.</t>
  </si>
  <si>
    <t>Please complete the table below and plot the projects in "option space." Six different projects are represented (A-F)</t>
  </si>
  <si>
    <t>Real Options Exercise - Part 1</t>
  </si>
  <si>
    <t>Real Options Pricing - Part 2</t>
  </si>
  <si>
    <t xml:space="preserve">project (including initial investment and expansion). Senior management is generally unimpressed with the NPV. Broader strategic considerations </t>
  </si>
  <si>
    <t>aside, do you agree with the valuation? If not, what would you say the value of the total project is? (Hint: use a two-stage real option pricing approach)</t>
  </si>
  <si>
    <t xml:space="preserve">Year </t>
  </si>
  <si>
    <t>Florida Cash Flow</t>
  </si>
  <si>
    <t>Assume:</t>
  </si>
  <si>
    <t>Delta's cost of capital:</t>
  </si>
  <si>
    <t>-initial outlay</t>
  </si>
  <si>
    <t>+ terminal value</t>
  </si>
  <si>
    <t>Expansion Cash Flow</t>
  </si>
  <si>
    <t>- investment</t>
  </si>
  <si>
    <t>Total Net Cash Flow</t>
  </si>
  <si>
    <t>All figures in millions</t>
  </si>
  <si>
    <t>years of experience, it will expand to at least two other markets. Delta finance has developed an NPV analysis to represent the value of the overall</t>
  </si>
  <si>
    <t>Delta Airlines is considering whether to invest in building its own low-cost carrier. It will begin by expanding to the Florida market. Then after a few</t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</si>
  <si>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)</t>
    </r>
  </si>
  <si>
    <t>PV Factor:</t>
  </si>
  <si>
    <t>Conduct sensitivity analysis on the volatility assumption (may want to graph volatility against option value)</t>
  </si>
  <si>
    <t>Call Value (multiply percent from table by S)</t>
  </si>
  <si>
    <t>OR USE FORMULA Call Value</t>
  </si>
  <si>
    <r>
      <rPr>
        <i/>
        <sz val="10"/>
        <rFont val="Arial"/>
        <family val="2"/>
      </rPr>
      <t xml:space="preserve">Option value as percent </t>
    </r>
    <r>
      <rPr>
        <sz val="10"/>
        <rFont val="Arial"/>
        <family val="2"/>
      </rPr>
      <t>(use table on Learning Suite)</t>
    </r>
  </si>
  <si>
    <t>Here you can use the Black-Scholes formula directly (better for sensitivity analysis).</t>
  </si>
  <si>
    <t>Interpolate as best you can to approximate the table value from the above two values</t>
  </si>
  <si>
    <t>Convert the table value (which is a percent) to a call value by multiplying by S - project cashflows</t>
  </si>
  <si>
    <t>Ratio as explained in reading</t>
  </si>
  <si>
    <t>Comments</t>
  </si>
  <si>
    <t>Value as explained in reading</t>
  </si>
  <si>
    <t>NPV of project as explained in reading</t>
  </si>
  <si>
    <t>2. Plot this information in "option space" (e.g. NPVq on horizontal, volatility on vertical (reversed values))</t>
  </si>
  <si>
    <t>1. Fill in the missing information in the table</t>
  </si>
  <si>
    <t>Number regions from most probable to least probable 1 - 6 (May want to plot options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</si>
</sst>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3" formatCode="_(* #,##0.00_);_(* \(#,##0.00\);_(* &quot;-&quot;??_);_(@_)"/>
    <numFmt numFmtId="166" formatCode="0.00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6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9" fontId="0" fillId="0" borderId="0" xfId="0" applyNumberFormat="1"/>
    <xf numFmtId="0" fontId="6" fillId="0" borderId="0" xfId="0" applyFont="1"/>
    <xf numFmtId="8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left"/>
    </xf>
    <xf numFmtId="0" fontId="0" fillId="0" borderId="3" xfId="0" applyFill="1" applyBorder="1" applyAlignment="1">
      <alignment horizontal="right"/>
    </xf>
    <xf numFmtId="0" fontId="0" fillId="0" borderId="3" xfId="0" quotePrefix="1" applyFill="1" applyBorder="1" applyAlignment="1">
      <alignment horizontal="right"/>
    </xf>
    <xf numFmtId="0" fontId="0" fillId="0" borderId="7" xfId="0" applyFill="1" applyBorder="1" applyAlignment="1"/>
    <xf numFmtId="0" fontId="0" fillId="0" borderId="8" xfId="0" applyFill="1" applyBorder="1" applyAlignment="1"/>
    <xf numFmtId="43" fontId="0" fillId="0" borderId="0" xfId="1" applyFont="1"/>
    <xf numFmtId="0" fontId="4" fillId="0" borderId="0" xfId="0" applyFont="1"/>
    <xf numFmtId="0" fontId="5" fillId="0" borderId="0" xfId="0" applyFont="1" applyAlignment="1">
      <alignment horizontal="right"/>
    </xf>
    <xf numFmtId="0" fontId="0" fillId="0" borderId="1" xfId="0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zoomScale="130" zoomScaleNormal="130" workbookViewId="0"/>
  </sheetViews>
  <sheetFormatPr defaultRowHeight="12.75" x14ac:dyDescent="0.2"/>
  <cols>
    <col min="1" max="2" width="15.7109375" customWidth="1"/>
    <col min="3" max="3" width="15.5703125" customWidth="1"/>
    <col min="10" max="10" width="10.140625" customWidth="1"/>
  </cols>
  <sheetData>
    <row r="1" spans="1:9" x14ac:dyDescent="0.2">
      <c r="A1" s="4" t="s">
        <v>25</v>
      </c>
    </row>
    <row r="3" spans="1:9" x14ac:dyDescent="0.2">
      <c r="A3" t="s">
        <v>20</v>
      </c>
    </row>
    <row r="4" spans="1:9" x14ac:dyDescent="0.2">
      <c r="A4" t="s">
        <v>21</v>
      </c>
    </row>
    <row r="5" spans="1:9" x14ac:dyDescent="0.2">
      <c r="A5" t="s">
        <v>22</v>
      </c>
    </row>
    <row r="6" spans="1:9" x14ac:dyDescent="0.2">
      <c r="A6" t="s">
        <v>23</v>
      </c>
    </row>
    <row r="9" spans="1:9" x14ac:dyDescent="0.2">
      <c r="A9" t="s">
        <v>24</v>
      </c>
    </row>
    <row r="10" spans="1:9" x14ac:dyDescent="0.2">
      <c r="A10" t="s">
        <v>16</v>
      </c>
    </row>
    <row r="11" spans="1:9" x14ac:dyDescent="0.2">
      <c r="A11" s="7" t="s">
        <v>55</v>
      </c>
    </row>
    <row r="12" spans="1:9" x14ac:dyDescent="0.2">
      <c r="A12" s="7" t="s">
        <v>54</v>
      </c>
    </row>
    <row r="14" spans="1:9" x14ac:dyDescent="0.2">
      <c r="A14" t="s">
        <v>18</v>
      </c>
    </row>
    <row r="16" spans="1:9" x14ac:dyDescent="0.2">
      <c r="C16" s="2" t="s">
        <v>17</v>
      </c>
      <c r="D16" s="2" t="s">
        <v>0</v>
      </c>
      <c r="E16" s="2" t="s">
        <v>1</v>
      </c>
      <c r="F16" s="2" t="s">
        <v>2</v>
      </c>
      <c r="G16" s="2" t="s">
        <v>3</v>
      </c>
      <c r="H16" s="2" t="s">
        <v>4</v>
      </c>
      <c r="I16" s="2" t="s">
        <v>5</v>
      </c>
    </row>
    <row r="17" spans="2:10" x14ac:dyDescent="0.2">
      <c r="B17" s="5"/>
      <c r="C17" s="6" t="s">
        <v>8</v>
      </c>
      <c r="D17" s="1">
        <v>85</v>
      </c>
      <c r="E17" s="1">
        <v>95</v>
      </c>
      <c r="F17" s="1">
        <v>120</v>
      </c>
      <c r="G17" s="1">
        <v>30</v>
      </c>
      <c r="H17" s="1">
        <v>150</v>
      </c>
      <c r="I17" s="1">
        <v>150</v>
      </c>
    </row>
    <row r="18" spans="2:10" x14ac:dyDescent="0.2">
      <c r="B18" s="7"/>
      <c r="C18" s="6" t="s">
        <v>9</v>
      </c>
      <c r="D18" s="1">
        <v>90</v>
      </c>
      <c r="E18" s="1">
        <v>90</v>
      </c>
      <c r="F18" s="1">
        <v>110</v>
      </c>
      <c r="G18" s="1">
        <v>80</v>
      </c>
      <c r="H18" s="1">
        <v>120</v>
      </c>
      <c r="I18" s="1">
        <v>190</v>
      </c>
    </row>
    <row r="19" spans="2:10" x14ac:dyDescent="0.2">
      <c r="B19" s="7"/>
      <c r="C19" s="6" t="s">
        <v>10</v>
      </c>
      <c r="D19" s="3">
        <v>0</v>
      </c>
      <c r="E19" s="3">
        <v>4</v>
      </c>
      <c r="F19" s="3">
        <v>0</v>
      </c>
      <c r="G19" s="3">
        <v>10</v>
      </c>
      <c r="H19" s="3">
        <v>2</v>
      </c>
      <c r="I19" s="3">
        <v>0.5</v>
      </c>
    </row>
    <row r="20" spans="2:10" x14ac:dyDescent="0.2">
      <c r="B20" s="7"/>
      <c r="C20" s="6" t="s">
        <v>11</v>
      </c>
      <c r="D20" s="1">
        <v>0.3</v>
      </c>
      <c r="E20" s="1">
        <v>0.2</v>
      </c>
      <c r="F20" s="1">
        <v>0.2</v>
      </c>
      <c r="G20" s="1">
        <v>0.3</v>
      </c>
      <c r="H20" s="1">
        <v>0.5</v>
      </c>
      <c r="I20" s="1">
        <v>0.4</v>
      </c>
    </row>
    <row r="21" spans="2:10" x14ac:dyDescent="0.2">
      <c r="B21" s="7"/>
      <c r="C21" s="6" t="s">
        <v>12</v>
      </c>
      <c r="D21" s="1">
        <v>0.06</v>
      </c>
      <c r="E21" s="1">
        <v>0.06</v>
      </c>
      <c r="F21" s="1">
        <v>0.06</v>
      </c>
      <c r="G21" s="1">
        <v>0.06</v>
      </c>
      <c r="H21" s="1">
        <v>0.06</v>
      </c>
      <c r="I21" s="1">
        <v>0.06</v>
      </c>
    </row>
    <row r="22" spans="2:10" x14ac:dyDescent="0.2">
      <c r="B22" s="7"/>
      <c r="C22" s="6"/>
      <c r="D22" s="1"/>
      <c r="E22" s="1"/>
      <c r="F22" s="1"/>
      <c r="G22" s="1"/>
      <c r="H22" s="1"/>
      <c r="I22" s="1"/>
    </row>
    <row r="23" spans="2:10" x14ac:dyDescent="0.2">
      <c r="B23" s="7"/>
      <c r="C23" s="6"/>
      <c r="D23" s="1"/>
      <c r="E23" s="1"/>
      <c r="F23" s="1"/>
      <c r="G23" s="1"/>
      <c r="H23" s="1"/>
      <c r="I23" s="1"/>
    </row>
    <row r="24" spans="2:10" x14ac:dyDescent="0.2">
      <c r="B24" s="7" t="s">
        <v>13</v>
      </c>
      <c r="C24" s="6"/>
      <c r="D24" s="1"/>
      <c r="E24" s="1"/>
      <c r="F24" s="1"/>
      <c r="G24" s="1"/>
      <c r="H24" s="1"/>
      <c r="I24" s="1"/>
    </row>
    <row r="25" spans="2:10" x14ac:dyDescent="0.2">
      <c r="B25" s="7"/>
      <c r="C25" s="7"/>
      <c r="D25" s="1"/>
      <c r="E25" s="1"/>
      <c r="F25" s="1"/>
      <c r="G25" s="1"/>
      <c r="H25" s="1"/>
      <c r="I25" s="1"/>
      <c r="J25" s="24" t="s">
        <v>51</v>
      </c>
    </row>
    <row r="26" spans="2:10" x14ac:dyDescent="0.2">
      <c r="B26" s="7"/>
      <c r="C26" s="6" t="s">
        <v>14</v>
      </c>
      <c r="D26" s="8"/>
      <c r="E26" s="8"/>
      <c r="F26" s="8"/>
      <c r="G26" s="8"/>
      <c r="H26" s="8"/>
      <c r="I26" s="8"/>
      <c r="J26" s="7" t="s">
        <v>50</v>
      </c>
    </row>
    <row r="27" spans="2:10" x14ac:dyDescent="0.2">
      <c r="B27" s="7"/>
      <c r="C27" s="6" t="s">
        <v>15</v>
      </c>
      <c r="D27" s="8"/>
      <c r="E27" s="8"/>
      <c r="F27" s="8"/>
      <c r="G27" s="8"/>
      <c r="H27" s="8"/>
      <c r="I27" s="8"/>
      <c r="J27" s="7" t="s">
        <v>52</v>
      </c>
    </row>
    <row r="28" spans="2:10" x14ac:dyDescent="0.2">
      <c r="B28" s="7"/>
      <c r="C28" s="25" t="s">
        <v>46</v>
      </c>
      <c r="D28" s="26"/>
      <c r="E28" s="26"/>
      <c r="F28" s="26"/>
      <c r="G28" s="26"/>
      <c r="H28" s="26"/>
      <c r="I28" s="26"/>
      <c r="J28" s="7" t="s">
        <v>48</v>
      </c>
    </row>
    <row r="29" spans="2:10" x14ac:dyDescent="0.2">
      <c r="B29" s="7"/>
      <c r="C29" s="25" t="s">
        <v>44</v>
      </c>
      <c r="D29" s="9"/>
      <c r="E29" s="9"/>
      <c r="F29" s="9"/>
      <c r="G29" s="9"/>
      <c r="H29" s="9"/>
      <c r="I29" s="9"/>
      <c r="J29" s="7" t="s">
        <v>49</v>
      </c>
    </row>
    <row r="30" spans="2:10" x14ac:dyDescent="0.2">
      <c r="B30" s="7"/>
      <c r="C30" s="6" t="s">
        <v>45</v>
      </c>
      <c r="D30" s="9"/>
      <c r="E30" s="9"/>
      <c r="F30" s="9"/>
      <c r="G30" s="9"/>
      <c r="H30" s="9"/>
      <c r="I30" s="9"/>
      <c r="J30" s="24" t="s">
        <v>47</v>
      </c>
    </row>
    <row r="31" spans="2:10" x14ac:dyDescent="0.2">
      <c r="C31" s="6" t="s">
        <v>6</v>
      </c>
      <c r="D31" s="9"/>
      <c r="E31" s="9"/>
      <c r="F31" s="9"/>
      <c r="G31" s="9"/>
      <c r="H31" s="9"/>
      <c r="I31" s="9"/>
      <c r="J31" s="7" t="s">
        <v>53</v>
      </c>
    </row>
    <row r="32" spans="2:10" x14ac:dyDescent="0.2">
      <c r="C32" s="6" t="s">
        <v>7</v>
      </c>
      <c r="D32" s="9"/>
      <c r="E32" s="9"/>
      <c r="F32" s="9"/>
      <c r="G32" s="9"/>
      <c r="H32" s="9"/>
      <c r="I32" s="9"/>
      <c r="J32" s="5" t="s">
        <v>56</v>
      </c>
    </row>
    <row r="33" spans="3:9" x14ac:dyDescent="0.2">
      <c r="C33" s="6"/>
      <c r="D33" s="1"/>
      <c r="E33" s="1"/>
      <c r="F33" s="1"/>
      <c r="G33" s="1"/>
      <c r="H33" s="1"/>
      <c r="I33" s="1"/>
    </row>
    <row r="34" spans="3:9" x14ac:dyDescent="0.2">
      <c r="C34" s="6"/>
      <c r="D34" s="1"/>
      <c r="E34" s="1"/>
      <c r="F34" s="1"/>
      <c r="G34" s="1"/>
      <c r="H34" s="1"/>
      <c r="I34" s="1"/>
    </row>
    <row r="35" spans="3:9" x14ac:dyDescent="0.2">
      <c r="C35" s="25"/>
      <c r="D35" s="1"/>
      <c r="E35" s="1"/>
      <c r="F35" s="1"/>
      <c r="G35" s="1"/>
      <c r="H35" s="1"/>
      <c r="I35" s="1"/>
    </row>
    <row r="36" spans="3:9" x14ac:dyDescent="0.2">
      <c r="C36" s="25"/>
    </row>
    <row r="37" spans="3:9" x14ac:dyDescent="0.2">
      <c r="C37" s="6"/>
    </row>
    <row r="38" spans="3:9" x14ac:dyDescent="0.2">
      <c r="C38" s="6"/>
    </row>
    <row r="39" spans="3:9" x14ac:dyDescent="0.2">
      <c r="C39" s="6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130" zoomScaleNormal="130" workbookViewId="0">
      <selection activeCell="A32" sqref="A32"/>
    </sheetView>
  </sheetViews>
  <sheetFormatPr defaultRowHeight="12.75" x14ac:dyDescent="0.2"/>
  <cols>
    <col min="1" max="1" width="19.42578125" customWidth="1"/>
    <col min="2" max="9" width="8.7109375" customWidth="1"/>
  </cols>
  <sheetData>
    <row r="1" spans="1:9" x14ac:dyDescent="0.2">
      <c r="A1" s="4" t="s">
        <v>26</v>
      </c>
    </row>
    <row r="3" spans="1:9" x14ac:dyDescent="0.2">
      <c r="A3" t="s">
        <v>40</v>
      </c>
    </row>
    <row r="4" spans="1:9" x14ac:dyDescent="0.2">
      <c r="A4" t="s">
        <v>39</v>
      </c>
    </row>
    <row r="5" spans="1:9" x14ac:dyDescent="0.2">
      <c r="A5" t="s">
        <v>27</v>
      </c>
    </row>
    <row r="6" spans="1:9" x14ac:dyDescent="0.2">
      <c r="A6" t="s">
        <v>28</v>
      </c>
    </row>
    <row r="7" spans="1:9" x14ac:dyDescent="0.2">
      <c r="A7" t="s">
        <v>43</v>
      </c>
    </row>
    <row r="9" spans="1:9" x14ac:dyDescent="0.2">
      <c r="A9" s="11" t="s">
        <v>31</v>
      </c>
    </row>
    <row r="10" spans="1:9" x14ac:dyDescent="0.2">
      <c r="A10" t="s">
        <v>32</v>
      </c>
      <c r="B10" s="10">
        <v>0.1</v>
      </c>
    </row>
    <row r="11" spans="1:9" x14ac:dyDescent="0.2">
      <c r="A11" t="s">
        <v>19</v>
      </c>
      <c r="B11" s="10">
        <v>0.05</v>
      </c>
    </row>
    <row r="12" spans="1:9" x14ac:dyDescent="0.2">
      <c r="A12" t="s">
        <v>41</v>
      </c>
      <c r="B12" s="10">
        <v>0.35</v>
      </c>
    </row>
    <row r="13" spans="1:9" x14ac:dyDescent="0.2">
      <c r="B13" s="10"/>
    </row>
    <row r="15" spans="1:9" ht="13.5" thickBot="1" x14ac:dyDescent="0.25">
      <c r="A15" s="11" t="s">
        <v>38</v>
      </c>
    </row>
    <row r="16" spans="1:9" ht="15" x14ac:dyDescent="0.25">
      <c r="A16" s="16" t="s">
        <v>29</v>
      </c>
      <c r="B16" s="17">
        <v>0</v>
      </c>
      <c r="C16" s="17">
        <v>1</v>
      </c>
      <c r="D16" s="17">
        <v>2</v>
      </c>
      <c r="E16" s="17">
        <v>3</v>
      </c>
      <c r="F16" s="17">
        <v>4</v>
      </c>
      <c r="G16" s="17">
        <v>5</v>
      </c>
      <c r="H16" s="17">
        <v>6</v>
      </c>
      <c r="I16" s="17">
        <v>7</v>
      </c>
    </row>
    <row r="17" spans="1:9" x14ac:dyDescent="0.2">
      <c r="A17" s="19" t="s">
        <v>30</v>
      </c>
      <c r="B17" s="13"/>
      <c r="C17" s="13">
        <v>30</v>
      </c>
      <c r="D17" s="13">
        <v>32.4</v>
      </c>
      <c r="E17" s="13">
        <v>35.700000000000003</v>
      </c>
      <c r="F17" s="13">
        <v>38.9</v>
      </c>
      <c r="G17" s="13">
        <v>43.6</v>
      </c>
      <c r="H17" s="13">
        <v>48.1</v>
      </c>
      <c r="I17" s="13">
        <v>54.2</v>
      </c>
    </row>
    <row r="18" spans="1:9" x14ac:dyDescent="0.2">
      <c r="A18" s="20" t="s">
        <v>34</v>
      </c>
      <c r="B18" s="13"/>
      <c r="C18" s="13"/>
      <c r="D18" s="13"/>
      <c r="E18" s="13"/>
      <c r="F18" s="13"/>
      <c r="G18" s="13"/>
      <c r="H18" s="13"/>
      <c r="I18" s="13">
        <v>312</v>
      </c>
    </row>
    <row r="19" spans="1:9" x14ac:dyDescent="0.2">
      <c r="A19" s="20" t="s">
        <v>33</v>
      </c>
      <c r="B19" s="21">
        <v>-351</v>
      </c>
      <c r="C19" s="22"/>
      <c r="D19" s="22"/>
      <c r="E19" s="22"/>
      <c r="F19" s="22"/>
      <c r="G19" s="22"/>
      <c r="H19" s="22"/>
      <c r="I19" s="22"/>
    </row>
    <row r="20" spans="1:9" x14ac:dyDescent="0.2">
      <c r="A20" s="19"/>
      <c r="B20" s="13"/>
      <c r="C20" s="13"/>
      <c r="D20" s="13"/>
      <c r="E20" s="13"/>
      <c r="F20" s="13"/>
      <c r="G20" s="13"/>
      <c r="H20" s="13"/>
      <c r="I20" s="13"/>
    </row>
    <row r="21" spans="1:9" x14ac:dyDescent="0.2">
      <c r="A21" s="19" t="s">
        <v>35</v>
      </c>
      <c r="B21" s="13"/>
      <c r="C21" s="13"/>
      <c r="D21" s="13"/>
      <c r="E21" s="13"/>
      <c r="F21" s="13"/>
      <c r="G21" s="13">
        <v>67.099999999999994</v>
      </c>
      <c r="H21" s="13">
        <v>73.400000000000006</v>
      </c>
      <c r="I21" s="13">
        <v>81.2</v>
      </c>
    </row>
    <row r="22" spans="1:9" x14ac:dyDescent="0.2">
      <c r="A22" s="20" t="s">
        <v>34</v>
      </c>
      <c r="B22" s="13"/>
      <c r="C22" s="13"/>
      <c r="D22" s="13"/>
      <c r="E22" s="13"/>
      <c r="F22" s="13"/>
      <c r="G22" s="13"/>
      <c r="H22" s="13"/>
      <c r="I22" s="13">
        <v>435</v>
      </c>
    </row>
    <row r="23" spans="1:9" x14ac:dyDescent="0.2">
      <c r="A23" s="20" t="s">
        <v>36</v>
      </c>
      <c r="B23" s="21"/>
      <c r="C23" s="22"/>
      <c r="D23" s="22"/>
      <c r="E23" s="22"/>
      <c r="F23" s="22">
        <v>-543</v>
      </c>
      <c r="G23" s="22"/>
      <c r="H23" s="22"/>
      <c r="I23" s="22"/>
    </row>
    <row r="24" spans="1:9" x14ac:dyDescent="0.2">
      <c r="A24" s="15"/>
      <c r="B24" s="13"/>
      <c r="C24" s="13"/>
      <c r="D24" s="13"/>
      <c r="E24" s="13"/>
      <c r="F24" s="13"/>
      <c r="G24" s="13"/>
      <c r="H24" s="13"/>
      <c r="I24" s="13"/>
    </row>
    <row r="25" spans="1:9" ht="13.5" thickBot="1" x14ac:dyDescent="0.25">
      <c r="A25" s="18" t="s">
        <v>37</v>
      </c>
      <c r="B25" s="14">
        <f>SUM(B17:B24)</f>
        <v>-351</v>
      </c>
      <c r="C25" s="14">
        <f t="shared" ref="C25:I25" si="0">SUM(C17:C24)</f>
        <v>30</v>
      </c>
      <c r="D25" s="14">
        <f t="shared" si="0"/>
        <v>32.4</v>
      </c>
      <c r="E25" s="14">
        <f t="shared" si="0"/>
        <v>35.700000000000003</v>
      </c>
      <c r="F25" s="14">
        <f t="shared" si="0"/>
        <v>-504.1</v>
      </c>
      <c r="G25" s="14">
        <f t="shared" si="0"/>
        <v>110.69999999999999</v>
      </c>
      <c r="H25" s="14">
        <f t="shared" si="0"/>
        <v>121.5</v>
      </c>
      <c r="I25" s="14">
        <f t="shared" si="0"/>
        <v>882.4</v>
      </c>
    </row>
    <row r="26" spans="1:9" x14ac:dyDescent="0.2">
      <c r="A26" s="2" t="s">
        <v>6</v>
      </c>
      <c r="B26" s="12">
        <f>SUMPRODUCT(B25:I25,B28:I28)</f>
        <v>-24.305261189528494</v>
      </c>
    </row>
    <row r="28" spans="1:9" x14ac:dyDescent="0.2">
      <c r="A28" t="s">
        <v>42</v>
      </c>
      <c r="B28" s="23">
        <f t="shared" ref="B28:I28" si="1">1/(1+$B$10)^B$16</f>
        <v>1</v>
      </c>
      <c r="C28" s="23">
        <f t="shared" si="1"/>
        <v>0.90909090909090906</v>
      </c>
      <c r="D28" s="23">
        <f t="shared" si="1"/>
        <v>0.82644628099173545</v>
      </c>
      <c r="E28" s="23">
        <f t="shared" si="1"/>
        <v>0.75131480090157754</v>
      </c>
      <c r="F28" s="23">
        <f t="shared" si="1"/>
        <v>0.68301345536507052</v>
      </c>
      <c r="G28" s="23">
        <f t="shared" si="1"/>
        <v>0.62092132305915493</v>
      </c>
      <c r="H28" s="23">
        <f t="shared" si="1"/>
        <v>0.56447393005377722</v>
      </c>
      <c r="I28" s="23">
        <f t="shared" si="1"/>
        <v>0.51315811823070645</v>
      </c>
    </row>
    <row r="30" spans="1:9" x14ac:dyDescent="0.2">
      <c r="B30" s="12"/>
    </row>
    <row r="31" spans="1:9" x14ac:dyDescent="0.2">
      <c r="B31" s="12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>BYU - Marriott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Bryce</dc:creator>
  <cp:lastModifiedBy>David Bryce</cp:lastModifiedBy>
  <cp:lastPrinted>2009-11-17T16:25:48Z</cp:lastPrinted>
  <dcterms:created xsi:type="dcterms:W3CDTF">2005-11-05T22:53:38Z</dcterms:created>
  <dcterms:modified xsi:type="dcterms:W3CDTF">2020-04-03T21:47:09Z</dcterms:modified>
</cp:coreProperties>
</file>