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bryce\Box\Documents Old Laptop 2023\BYU\STRAT 411\"/>
    </mc:Choice>
  </mc:AlternateContent>
  <xr:revisionPtr revIDLastSave="0" documentId="8_{1153A81E-8589-43E9-9C94-99448C3B142A}" xr6:coauthVersionLast="47" xr6:coauthVersionMax="47" xr10:uidLastSave="{00000000-0000-0000-0000-000000000000}"/>
  <bookViews>
    <workbookView xWindow="-120" yWindow="-120" windowWidth="29040" windowHeight="15720" xr2:uid="{B5C8D9A9-8814-409C-9971-E9B52474F852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11" i="1" s="1"/>
  <c r="B13" i="1" s="1"/>
</calcChain>
</file>

<file path=xl/sharedStrings.xml><?xml version="1.0" encoding="utf-8"?>
<sst xmlns="http://schemas.openxmlformats.org/spreadsheetml/2006/main" count="19" uniqueCount="19">
  <si>
    <t>Stock price</t>
  </si>
  <si>
    <t>S</t>
  </si>
  <si>
    <t>Strike price</t>
  </si>
  <si>
    <t>X</t>
  </si>
  <si>
    <t>Years to maturity</t>
  </si>
  <si>
    <t>T</t>
  </si>
  <si>
    <t>Risk-free rate</t>
  </si>
  <si>
    <t>r</t>
  </si>
  <si>
    <t>d1</t>
  </si>
  <si>
    <t>d2</t>
  </si>
  <si>
    <t>Black-Scholes</t>
  </si>
  <si>
    <t>value of project</t>
  </si>
  <si>
    <t>cost of project</t>
  </si>
  <si>
    <t>"risk-free" discount rate</t>
  </si>
  <si>
    <t>volatility</t>
  </si>
  <si>
    <t>time periods to exercise</t>
  </si>
  <si>
    <t>Option Value</t>
  </si>
  <si>
    <t>Volatility (sigma only - not squared)</t>
  </si>
  <si>
    <t>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</si>
</sst>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0"/>
    <numFmt numFmtId="168" formatCode="0.0"/>
  </numFmts>
  <fonts count="8">
    <font>
      <sz val="9"/>
      <name val="Arial"/>
    </font>
    <font>
      <b/>
      <sz val="9"/>
      <name val="Geneva"/>
    </font>
    <font>
      <u/>
      <sz val="9"/>
      <color indexed="12"/>
      <name val="Arial"/>
      <family val="2"/>
    </font>
    <font>
      <b/>
      <sz val="9"/>
      <name val="Arial"/>
      <family val="2"/>
    </font>
    <font>
      <sz val="9"/>
      <name val="Geneva"/>
    </font>
    <font>
      <sz val="8"/>
      <name val="Arial"/>
      <family val="2"/>
    </font>
    <font>
      <u/>
      <sz val="8"/>
      <color indexed="12"/>
      <name val="Arial"/>
      <family val="2"/>
    </font>
    <font>
      <b/>
      <i/>
      <sz val="9"/>
      <name val="Genev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3" fillId="0" borderId="0" xfId="0" applyFont="1"/>
    <xf numFmtId="0" fontId="3" fillId="0" borderId="0" xfId="0" applyFont="1" applyFill="1" applyBorder="1"/>
    <xf numFmtId="0" fontId="0" fillId="0" borderId="0" xfId="0" applyFill="1" applyBorder="1"/>
    <xf numFmtId="168" fontId="4" fillId="0" borderId="0" xfId="0" applyNumberFormat="1" applyFont="1" applyFill="1" applyBorder="1"/>
    <xf numFmtId="0" fontId="1" fillId="0" borderId="0" xfId="0" applyFont="1" applyFill="1" applyBorder="1"/>
    <xf numFmtId="2" fontId="4" fillId="0" borderId="0" xfId="0" applyNumberFormat="1" applyFont="1" applyFill="1" applyBorder="1"/>
    <xf numFmtId="10" fontId="4" fillId="0" borderId="0" xfId="0" applyNumberFormat="1" applyFont="1" applyFill="1" applyBorder="1"/>
    <xf numFmtId="164" fontId="4" fillId="0" borderId="0" xfId="0" applyNumberFormat="1" applyFont="1" applyFill="1" applyBorder="1"/>
    <xf numFmtId="0" fontId="4" fillId="0" borderId="0" xfId="0" applyFont="1" applyFill="1" applyBorder="1"/>
    <xf numFmtId="165" fontId="4" fillId="0" borderId="0" xfId="0" applyNumberFormat="1" applyFont="1" applyFill="1" applyBorder="1"/>
    <xf numFmtId="165" fontId="4" fillId="0" borderId="0" xfId="0" quotePrefix="1" applyNumberFormat="1" applyFont="1" applyFill="1" applyBorder="1"/>
    <xf numFmtId="2" fontId="4" fillId="0" borderId="0" xfId="0" quotePrefix="1" applyNumberFormat="1" applyFont="1" applyFill="1" applyBorder="1"/>
    <xf numFmtId="0" fontId="6" fillId="0" borderId="0" xfId="1" applyFont="1" applyFill="1" applyBorder="1" applyAlignment="1" applyProtection="1">
      <alignment horizontal="center"/>
    </xf>
    <xf numFmtId="0" fontId="3" fillId="0" borderId="0" xfId="0" applyFont="1" applyFill="1" applyBorder="1" applyAlignment="1"/>
    <xf numFmtId="0" fontId="7" fillId="0" borderId="0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F8A7B-C4E1-4EEA-AE45-F9A17739C242}">
  <dimension ref="A1:H16"/>
  <sheetViews>
    <sheetView tabSelected="1" workbookViewId="0">
      <selection sqref="A1:B1"/>
    </sheetView>
  </sheetViews>
  <sheetFormatPr defaultRowHeight="12"/>
  <cols>
    <col min="1" max="1" width="34.28515625" customWidth="1"/>
    <col min="2" max="2" width="9.5703125" customWidth="1"/>
    <col min="3" max="3" width="5.140625" customWidth="1"/>
    <col min="4" max="4" width="9" customWidth="1"/>
  </cols>
  <sheetData>
    <row r="1" spans="1:8" s="1" customFormat="1">
      <c r="A1" s="14" t="s">
        <v>10</v>
      </c>
      <c r="B1" s="14"/>
      <c r="C1" s="2"/>
      <c r="D1" s="2"/>
    </row>
    <row r="2" spans="1:8">
      <c r="A2" s="13"/>
      <c r="B2" s="13"/>
      <c r="C2" s="3"/>
      <c r="D2" s="3"/>
    </row>
    <row r="3" spans="1:8">
      <c r="A3" s="3"/>
      <c r="B3" s="3"/>
      <c r="C3" s="3"/>
      <c r="D3" s="3"/>
    </row>
    <row r="4" spans="1:8">
      <c r="A4" s="2" t="s">
        <v>0</v>
      </c>
      <c r="B4" s="4">
        <v>100</v>
      </c>
      <c r="C4" s="15" t="s">
        <v>1</v>
      </c>
      <c r="D4" t="s">
        <v>11</v>
      </c>
      <c r="H4" s="11"/>
    </row>
    <row r="5" spans="1:8">
      <c r="A5" s="2" t="s">
        <v>2</v>
      </c>
      <c r="B5" s="4">
        <v>105</v>
      </c>
      <c r="C5" s="15" t="s">
        <v>3</v>
      </c>
      <c r="D5" t="s">
        <v>12</v>
      </c>
    </row>
    <row r="6" spans="1:8">
      <c r="A6" s="2" t="s">
        <v>4</v>
      </c>
      <c r="B6" s="6">
        <v>1</v>
      </c>
      <c r="C6" s="15" t="s">
        <v>5</v>
      </c>
      <c r="D6" t="s">
        <v>15</v>
      </c>
    </row>
    <row r="7" spans="1:8">
      <c r="A7" s="2" t="s">
        <v>17</v>
      </c>
      <c r="B7" s="8">
        <v>0.5</v>
      </c>
      <c r="C7" s="15" t="s">
        <v>18</v>
      </c>
      <c r="D7" t="s">
        <v>14</v>
      </c>
    </row>
    <row r="8" spans="1:8">
      <c r="A8" s="2" t="s">
        <v>6</v>
      </c>
      <c r="B8" s="7">
        <v>0.05</v>
      </c>
      <c r="C8" s="15" t="s">
        <v>7</v>
      </c>
      <c r="D8" t="s">
        <v>13</v>
      </c>
    </row>
    <row r="10" spans="1:8">
      <c r="A10" s="9" t="s">
        <v>8</v>
      </c>
      <c r="B10" s="11">
        <f>(LN(B4/B5)+(B8+B7^2/2)*B6)/(B7*SQRT(B6))</f>
        <v>0.25241967166113588</v>
      </c>
      <c r="C10" s="5"/>
      <c r="D10" s="3"/>
    </row>
    <row r="11" spans="1:8">
      <c r="A11" s="9" t="s">
        <v>9</v>
      </c>
      <c r="B11" s="10">
        <f>B10-B7*SQRT(B6)</f>
        <v>-0.24758032833886412</v>
      </c>
      <c r="C11" s="5"/>
      <c r="D11" s="3"/>
    </row>
    <row r="12" spans="1:8">
      <c r="A12" s="3"/>
      <c r="B12" s="3"/>
      <c r="C12" s="5"/>
      <c r="D12" s="3"/>
    </row>
    <row r="13" spans="1:8">
      <c r="A13" s="2" t="s">
        <v>16</v>
      </c>
      <c r="B13" s="12">
        <f>B4*NORMSDIST(B10)-B5*EXP(-B8*B6)*NORMSDIST(B11)</f>
        <v>19.789842288735578</v>
      </c>
      <c r="C13" s="5"/>
      <c r="D13" s="3"/>
    </row>
    <row r="14" spans="1:8">
      <c r="A14" s="2"/>
      <c r="B14" s="12"/>
      <c r="C14" s="3"/>
      <c r="D14" s="3"/>
    </row>
    <row r="15" spans="1:8">
      <c r="A15" s="3"/>
      <c r="B15" s="12"/>
      <c r="C15" s="3"/>
      <c r="D15" s="3"/>
    </row>
    <row r="16" spans="1:8">
      <c r="A16" s="3"/>
      <c r="B16" s="3"/>
      <c r="C16" s="3"/>
      <c r="D16" s="3"/>
    </row>
  </sheetData>
  <mergeCells count="2">
    <mergeCell ref="A2:B2"/>
    <mergeCell ref="A1:B1"/>
  </mergeCells>
  <phoneticPr fontId="5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4F12E-6E6F-4D34-85C8-D9D8433CDE8B}">
  <dimension ref="A1"/>
  <sheetViews>
    <sheetView workbookViewId="0"/>
  </sheetViews>
  <sheetFormatPr defaultRowHeight="12"/>
  <sheetData/>
  <phoneticPr fontId="5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3979C-276E-4C0C-AB68-9F7279430C71}">
  <dimension ref="A1"/>
  <sheetViews>
    <sheetView workbookViewId="0"/>
  </sheetViews>
  <sheetFormatPr defaultRowHeight="12"/>
  <sheetData/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ACME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Mattias Waldau</dc:creator>
  <cp:lastModifiedBy>Dave Bryce</cp:lastModifiedBy>
  <dcterms:created xsi:type="dcterms:W3CDTF">2003-03-17T10:45:16Z</dcterms:created>
  <dcterms:modified xsi:type="dcterms:W3CDTF">2026-03-30T21:38:52Z</dcterms:modified>
</cp:coreProperties>
</file>